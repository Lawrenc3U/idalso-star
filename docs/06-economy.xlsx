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Blocks" sheetId="2" r:id="rId2"/>
    <sheet name="Equipment" sheetId="3" r:id="rId3"/>
    <sheet name="Ranks" sheetId="4" r:id="rId4"/>
    <sheet name="Scenarios" sheetId="5" r:id="rId5"/>
    <sheet name="Prestige" sheetId="6" r:id="rId6"/>
    <sheet name="Token shop" sheetId="7" r:id="rId7"/>
    <sheet name="Read me" sheetId="8" r:id="rId8"/>
  </sheets>
  <calcPr calcId="124519" fullCalcOnLoad="1"/>
</workbook>
</file>

<file path=xl/sharedStrings.xml><?xml version="1.0" encoding="utf-8"?>
<sst xmlns="http://schemas.openxmlformats.org/spreadsheetml/2006/main" count="134" uniqueCount="128">
  <si>
    <t>Parameter</t>
  </si>
  <si>
    <t>Value</t>
  </si>
  <si>
    <t>Meaning</t>
  </si>
  <si>
    <t>Efficiency</t>
  </si>
  <si>
    <t>Fraction of ideal mining/travel throughput</t>
  </si>
  <si>
    <t>Travel seconds</t>
  </si>
  <si>
    <t>Per full backpack trip</t>
  </si>
  <si>
    <t>Rank growth</t>
  </si>
  <si>
    <t>After first transition</t>
  </si>
  <si>
    <t>First rank cost</t>
  </si>
  <si>
    <t>A to B</t>
  </si>
  <si>
    <t>Second rank cost</t>
  </si>
  <si>
    <t>B to C</t>
  </si>
  <si>
    <t>Ore tier growth</t>
  </si>
  <si>
    <t>Floor each ore value separately</t>
  </si>
  <si>
    <t>Rank bonus</t>
  </si>
  <si>
    <t>Additive per rank</t>
  </si>
  <si>
    <t>Prestige bonus</t>
  </si>
  <si>
    <t>Additive per prestige</t>
  </si>
  <si>
    <t>Prestige cap</t>
  </si>
  <si>
    <t>Maximum prestige multiplier</t>
  </si>
  <si>
    <t>Base prestige money</t>
  </si>
  <si>
    <t>Additional goal at Z</t>
  </si>
  <si>
    <t>Prestige goal growth</t>
  </si>
  <si>
    <t>Additional requirement per completed cycle</t>
  </si>
  <si>
    <t>Tokens per prestige</t>
  </si>
  <si>
    <t>Before token pass</t>
  </si>
  <si>
    <t>Ore</t>
  </si>
  <si>
    <t>Weight</t>
  </si>
  <si>
    <t>Base value</t>
  </si>
  <si>
    <t>Health</t>
  </si>
  <si>
    <t>Chalk</t>
  </si>
  <si>
    <t>Copper</t>
  </si>
  <si>
    <t>Glowstone</t>
  </si>
  <si>
    <t>Pick</t>
  </si>
  <si>
    <t>Cost</t>
  </si>
  <si>
    <t>Damage</t>
  </si>
  <si>
    <t>Interval</t>
  </si>
  <si>
    <t>Bag capacity</t>
  </si>
  <si>
    <t>Bag cost</t>
  </si>
  <si>
    <t>Yard</t>
  </si>
  <si>
    <t>Trusty</t>
  </si>
  <si>
    <t>Workshop</t>
  </si>
  <si>
    <t>Foreman</t>
  </si>
  <si>
    <t>-</t>
  </si>
  <si>
    <t>Rank</t>
  </si>
  <si>
    <t>Tier</t>
  </si>
  <si>
    <t>Pick tier</t>
  </si>
  <si>
    <t>Bag tier</t>
  </si>
  <si>
    <t>Weighted ore value</t>
  </si>
  <si>
    <t>Hits per unit</t>
  </si>
  <si>
    <t>Units/sec</t>
  </si>
  <si>
    <t>Money/min</t>
  </si>
  <si>
    <t>Rank cost</t>
  </si>
  <si>
    <t>Upgrade spend</t>
  </si>
  <si>
    <t>Minutes to goal</t>
  </si>
  <si>
    <t>Cumulative minutes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</si>
  <si>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</si>
  <si>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</si>
  <si>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</si>
  <si>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</si>
  <si>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</si>
  <si>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</si>
  <si>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</si>
  <si>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</si>
  <si>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</si>
  <si>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</si>
  <si>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</si>
  <si>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</si>
  <si>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</si>
  <si>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</si>
  <si>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</si>
  <si>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</si>
  <si>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</si>
  <si>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</si>
  <si>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</si>
  <si>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</si>
  <si>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</si>
  <si>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</si>
  <si>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</si>
  <si>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</si>
  <si>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</si>
  <si>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</si>
  <si>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Scenario</t>
  </si>
  <si>
    <t>Money pass</t>
  </si>
  <si>
    <t>Boost</t>
  </si>
  <si>
    <t>Social/event</t>
  </si>
  <si>
    <t>Prestige multiplier</t>
  </si>
  <si>
    <t>Estimated hours</t>
  </si>
  <si>
    <t>Free first prestige</t>
  </si>
  <si>
    <t>Pass + boost</t>
  </si>
  <si>
    <t>All reward factors</t>
  </si>
  <si>
    <t>Cycle</t>
  </si>
  <si>
    <t>Previous prestiges</t>
  </si>
  <si>
    <t>Permanent multiplier</t>
  </si>
  <si>
    <t>Money goal at Z</t>
  </si>
  <si>
    <t>Estimated cycle hours</t>
  </si>
  <si>
    <t>Tokens</t>
  </si>
  <si>
    <t>Upgrade</t>
  </si>
  <si>
    <t>Base cost</t>
  </si>
  <si>
    <t>Level cap</t>
  </si>
  <si>
    <t>Pricing</t>
  </si>
  <si>
    <t>Effect</t>
  </si>
  <si>
    <t>Fortune</t>
  </si>
  <si>
    <t>base * next level</t>
  </si>
  <si>
    <t>8% bonus-unit chance/level</t>
  </si>
  <si>
    <t>Chain</t>
  </si>
  <si>
    <t>+1 adjacent block/level</t>
  </si>
  <si>
    <t>Burst</t>
  </si>
  <si>
    <t>Extra bounded radius targets</t>
  </si>
  <si>
    <t>Capacity</t>
  </si>
  <si>
    <t>+15 base capacity/level</t>
  </si>
  <si>
    <t>Skin</t>
  </si>
  <si>
    <t>fixed</t>
  </si>
  <si>
    <t>Gold blade cosmetic</t>
  </si>
  <si>
    <t>Pet</t>
  </si>
  <si>
    <t>Local cosmetic buddy</t>
  </si>
  <si>
    <t>Notes</t>
  </si>
  <si>
    <t>Design estimates, not playtest results. Yellow assumption cells are editable.</t>
  </si>
  <si>
    <t>Cached values correspond to the shipped Config at generation; Excel recalculates formulas on open.</t>
  </si>
  <si>
    <t>Ranks sheet assumes one mine per rank (expanded mode), no Fortune and no boosts.</t>
  </si>
  <si>
    <t>Default prototype has one tier-1 mine; its B-to-C income is lower than the expanded model.</t>
  </si>
  <si>
    <t>Equipment advances one tier each rank until max; upgrade spend is included in that rank goal.</t>
  </si>
  <si>
    <t>Travel and efficiency dominate timing. Real upgrade order and shared-mine contention change results.</t>
  </si>
  <si>
    <t>Prestige estimates exclude retained token-upgrade acceleration; treat later-cycle timing as conservative.</t>
  </si>
  <si>
    <t>All-factor scenario assumes bonuses last the entire cycle; it is a bound, not expected behaviour.</t>
  </si>
  <si>
    <t>Currency sources/sinks and reset rules are detailed in 01-game-design-doc.md.</t>
  </si>
  <si>
    <t>Verify receipt handling, current monetization rules and actual prices on Creator Hub before launch.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</si>
</sst>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7784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9.7109375" customWidth="1"/>
    <col min="3" max="3" width="56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0.65</v>
      </c>
      <c r="C2" t="s">
        <v>4</v>
      </c>
    </row>
    <row r="3" spans="1:3">
      <c r="A3" t="s">
        <v>5</v>
      </c>
      <c r="B3" s="2">
        <v>10</v>
      </c>
      <c r="C3" t="s">
        <v>6</v>
      </c>
    </row>
    <row r="4" spans="1:3">
      <c r="A4" t="s">
        <v>7</v>
      </c>
      <c r="B4" s="2">
        <v>1.34</v>
      </c>
      <c r="C4" t="s">
        <v>8</v>
      </c>
    </row>
    <row r="5" spans="1:3">
      <c r="A5" t="s">
        <v>9</v>
      </c>
      <c r="B5" s="2">
        <v>900</v>
      </c>
      <c r="C5" t="s">
        <v>10</v>
      </c>
    </row>
    <row r="6" spans="1:3">
      <c r="A6" t="s">
        <v>11</v>
      </c>
      <c r="B6" s="2">
        <v>1800</v>
      </c>
      <c r="C6" t="s">
        <v>12</v>
      </c>
    </row>
    <row r="7" spans="1:3">
      <c r="A7" t="s">
        <v>13</v>
      </c>
      <c r="B7" s="2">
        <v>1.2</v>
      </c>
      <c r="C7" t="s">
        <v>14</v>
      </c>
    </row>
    <row r="8" spans="1:3">
      <c r="A8" t="s">
        <v>15</v>
      </c>
      <c r="B8" s="2">
        <v>0.08</v>
      </c>
      <c r="C8" t="s">
        <v>16</v>
      </c>
    </row>
    <row r="9" spans="1:3">
      <c r="A9" t="s">
        <v>17</v>
      </c>
      <c r="B9" s="2">
        <v>0.2</v>
      </c>
      <c r="C9" t="s">
        <v>18</v>
      </c>
    </row>
    <row r="10" spans="1:3">
      <c r="A10" t="s">
        <v>19</v>
      </c>
      <c r="B10" s="2">
        <v>5</v>
      </c>
      <c r="C10" t="s">
        <v>20</v>
      </c>
    </row>
    <row r="11" spans="1:3">
      <c r="A11" t="s">
        <v>21</v>
      </c>
      <c r="B11" s="2">
        <v>120000</v>
      </c>
      <c r="C11" t="s">
        <v>22</v>
      </c>
    </row>
    <row r="12" spans="1:3">
      <c r="A12" t="s">
        <v>23</v>
      </c>
      <c r="B12" s="2">
        <v>0.25</v>
      </c>
      <c r="C12" t="s">
        <v>24</v>
      </c>
    </row>
    <row r="13" spans="1:3">
      <c r="A13" t="s">
        <v>25</v>
      </c>
      <c r="B13" s="2">
        <v>10</v>
      </c>
      <c r="C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9.7109375" customWidth="1"/>
  </cols>
  <sheetData>
    <row r="1" spans="1:4">
      <c r="A1" s="1" t="s">
        <v>27</v>
      </c>
      <c r="B1" s="1" t="s">
        <v>28</v>
      </c>
      <c r="C1" s="1" t="s">
        <v>29</v>
      </c>
      <c r="D1" s="1" t="s">
        <v>30</v>
      </c>
    </row>
    <row r="2" spans="1:4">
      <c r="A2" t="s">
        <v>31</v>
      </c>
      <c r="B2">
        <v>0.7</v>
      </c>
      <c r="C2">
        <v>1</v>
      </c>
      <c r="D2">
        <v>1</v>
      </c>
    </row>
    <row r="3" spans="1:4">
      <c r="A3" t="s">
        <v>32</v>
      </c>
      <c r="B3">
        <v>0.25</v>
      </c>
      <c r="C3">
        <v>3</v>
      </c>
      <c r="D3">
        <v>2</v>
      </c>
    </row>
    <row r="4" spans="1:4">
      <c r="A4" t="s">
        <v>33</v>
      </c>
      <c r="B4">
        <v>0.05</v>
      </c>
      <c r="C4">
        <v>8</v>
      </c>
      <c r="D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9.7109375" customWidth="1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t="s">
        <v>40</v>
      </c>
      <c r="B2">
        <v>0</v>
      </c>
      <c r="C2">
        <v>1</v>
      </c>
      <c r="D2">
        <v>0.45</v>
      </c>
      <c r="E2">
        <v>30</v>
      </c>
      <c r="F2">
        <v>0</v>
      </c>
    </row>
    <row r="3" spans="1:6">
      <c r="A3" t="s">
        <v>41</v>
      </c>
      <c r="B3">
        <v>180</v>
      </c>
      <c r="C3">
        <v>2</v>
      </c>
      <c r="D3">
        <v>0.38</v>
      </c>
      <c r="E3">
        <v>60</v>
      </c>
      <c r="F3">
        <v>150</v>
      </c>
    </row>
    <row r="4" spans="1:6">
      <c r="A4" t="s">
        <v>42</v>
      </c>
      <c r="B4">
        <v>800</v>
      </c>
      <c r="C4">
        <v>3</v>
      </c>
      <c r="D4">
        <v>0.3</v>
      </c>
      <c r="E4">
        <v>120</v>
      </c>
      <c r="F4">
        <v>650</v>
      </c>
    </row>
    <row r="5" spans="1:6">
      <c r="A5" t="s">
        <v>43</v>
      </c>
      <c r="B5">
        <v>4500</v>
      </c>
      <c r="C5">
        <v>5</v>
      </c>
      <c r="D5">
        <v>0.24</v>
      </c>
      <c r="E5">
        <v>240</v>
      </c>
      <c r="F5">
        <v>2500</v>
      </c>
    </row>
    <row r="6" spans="1:6">
      <c r="A6" t="s">
        <v>44</v>
      </c>
      <c r="B6">
        <v>0</v>
      </c>
      <c r="C6">
        <v>0</v>
      </c>
      <c r="D6">
        <v>0</v>
      </c>
      <c r="E6">
        <v>480</v>
      </c>
      <c r="F6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9.7109375" customWidth="1"/>
  </cols>
  <sheetData>
    <row r="1" spans="1:1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38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57</v>
      </c>
      <c r="B2">
        <v>1</v>
      </c>
      <c r="C2">
        <v>1</v>
      </c>
      <c r="D2">
        <v>1</v>
      </c>
      <c r="E2" s="3">
        <f>SUMPRODUCT(Blocks!$B$2:$B$4,INT(Blocks!$C$2:$C$4*Assumptions!$B$7^(B2-1)))</f>
        <v>1.85</v>
      </c>
      <c r="F2" s="3">
        <f>SUMPRODUCT(Blocks!$B$2:$B$4,ROUNDUP(Blocks!$D$2:$D$4/INDEX(Equipment!$C$2:$C$5,C2),0))</f>
        <v>1.35</v>
      </c>
      <c r="G2" s="3">
        <f>1/(F2*INDEX(Equipment!$D$2:$D$5,C2))</f>
        <v>1.6460905349794237</v>
      </c>
      <c r="H2" s="3">
        <f>INDEX(Equipment!$E$2:$E$6,D2)</f>
        <v>30</v>
      </c>
      <c r="I2" s="3">
        <f>H2*E2*(1+(B2-1)*Assumptions!$B$8)/(H2/G2+Assumptions!$B$3)*60*Assumptions!$B$2</f>
        <v>76.6873339238264</v>
      </c>
      <c r="J2" s="3">
        <f>IF(B2=26,Assumptions!$B$11,IF(B2=1,Assumptions!$B$5,INT(Assumptions!$B$6*Assumptions!$B$4^(B2-2))))</f>
        <v>900</v>
      </c>
      <c r="K2" s="3">
        <f>IF(B2=1,0,IF(C2&gt;C1,INDEX(Equipment!$B$2:$B$5,C2),0)+IF(D2&gt;D1,INDEX(Equipment!$F$2:$F$6,D2),0))</f>
        <v>0</v>
      </c>
      <c r="L2" s="3">
        <f>(J2+K2)/I2</f>
        <v>11.735966735966736</v>
      </c>
      <c r="M2" s="3">
        <f>SUM(L$2:L2)</f>
        <v>11.735966735966736</v>
      </c>
    </row>
    <row r="3" spans="1:13">
      <c r="A3" t="s">
        <v>58</v>
      </c>
      <c r="B3">
        <v>2</v>
      </c>
      <c r="C3">
        <v>2</v>
      </c>
      <c r="D3">
        <v>2</v>
      </c>
      <c r="E3" s="3">
        <f>SUMPRODUCT(Blocks!$B$2:$B$4,INT(Blocks!$C$2:$C$4*Assumptions!$B$7^(B3-1)))</f>
        <v>1.9</v>
      </c>
      <c r="F3" s="3">
        <f>SUMPRODUCT(Blocks!$B$2:$B$4,ROUNDUP(Blocks!$D$2:$D$4/INDEX(Equipment!$C$2:$C$5,C3),0))</f>
        <v>1.05</v>
      </c>
      <c r="G3" s="3">
        <f>1/(F3*INDEX(Equipment!$D$2:$D$5,C3))</f>
        <v>2.506265664160401</v>
      </c>
      <c r="H3" s="3">
        <f>INDEX(Equipment!$E$2:$E$6,D3)</f>
        <v>60</v>
      </c>
      <c r="I3" s="3">
        <f>H3*E3*(1+(B3-1)*Assumptions!$B$8)/(H3/G3+Assumptions!$B$3)*60*Assumptions!$B$2</f>
        <v>141.47554507955218</v>
      </c>
      <c r="J3" s="3">
        <f>IF(B3=26,Assumptions!$B$11,IF(B3=1,Assumptions!$B$5,INT(Assumptions!$B$6*Assumptions!$B$4^(B3-2))))</f>
        <v>1800</v>
      </c>
      <c r="K3" s="3">
        <f>IF(B3=1,0,IF(C3&gt;C2,INDEX(Equipment!$B$2:$B$5,C3),0)+IF(D3&gt;D2,INDEX(Equipment!$F$2:$F$6,D3),0))</f>
        <v>330</v>
      </c>
      <c r="L3" s="3">
        <f>(J3+K3)/I3</f>
        <v>15.055605538061675</v>
      </c>
      <c r="M3" s="3">
        <f>SUM(L$2:L3)</f>
        <v>26.79157227402841</v>
      </c>
    </row>
    <row r="4" spans="1:13">
      <c r="A4" t="s">
        <v>59</v>
      </c>
      <c r="B4">
        <v>3</v>
      </c>
      <c r="C4">
        <v>3</v>
      </c>
      <c r="D4">
        <v>3</v>
      </c>
      <c r="E4" s="3">
        <f>SUMPRODUCT(Blocks!$B$2:$B$4,INT(Blocks!$C$2:$C$4*Assumptions!$B$7^(B4-1)))</f>
        <v>2.25</v>
      </c>
      <c r="F4" s="3">
        <f>SUMPRODUCT(Blocks!$B$2:$B$4,ROUNDUP(Blocks!$D$2:$D$4/INDEX(Equipment!$C$2:$C$5,C4),0))</f>
        <v>1.0</v>
      </c>
      <c r="G4" s="3">
        <f>1/(F4*INDEX(Equipment!$D$2:$D$5,C4))</f>
        <v>3.3333333333333335</v>
      </c>
      <c r="H4" s="3">
        <f>INDEX(Equipment!$E$2:$E$6,D4)</f>
        <v>120</v>
      </c>
      <c r="I4" s="3">
        <f>H4*E4*(1+(B4-1)*Assumptions!$B$8)/(H4/G4+Assumptions!$B$3)*60*Assumptions!$B$2</f>
        <v>265.5391304347826</v>
      </c>
      <c r="J4" s="3">
        <f>IF(B4=26,Assumptions!$B$11,IF(B4=1,Assumptions!$B$5,INT(Assumptions!$B$6*Assumptions!$B$4^(B4-2))))</f>
        <v>2412</v>
      </c>
      <c r="K4" s="3">
        <f>IF(B4=1,0,IF(C4&gt;C3,INDEX(Equipment!$B$2:$B$5,C4),0)+IF(D4&gt;D3,INDEX(Equipment!$F$2:$F$6,D4),0))</f>
        <v>1450</v>
      </c>
      <c r="L4" s="3">
        <f>(J4+K4)/I4</f>
        <v>14.543995808363626</v>
      </c>
      <c r="M4" s="3">
        <f>SUM(L$2:L4)</f>
        <v>41.33556808239204</v>
      </c>
    </row>
    <row r="5" spans="1:13">
      <c r="A5" t="s">
        <v>60</v>
      </c>
      <c r="B5">
        <v>4</v>
      </c>
      <c r="C5">
        <v>4</v>
      </c>
      <c r="D5">
        <v>4</v>
      </c>
      <c r="E5" s="3">
        <f>SUMPRODUCT(Blocks!$B$2:$B$4,INT(Blocks!$C$2:$C$4*Assumptions!$B$7^(B5-1)))</f>
        <v>2.6</v>
      </c>
      <c r="F5" s="3">
        <f>SUMPRODUCT(Blocks!$B$2:$B$4,ROUNDUP(Blocks!$D$2:$D$4/INDEX(Equipment!$C$2:$C$5,C5),0))</f>
        <v>1.0</v>
      </c>
      <c r="G5" s="3">
        <f>1/(F5*INDEX(Equipment!$D$2:$D$5,C5))</f>
        <v>4.166666666666667</v>
      </c>
      <c r="H5" s="3">
        <f>INDEX(Equipment!$E$2:$E$6,D5)</f>
        <v>240</v>
      </c>
      <c r="I5" s="3">
        <f>H5*E5*(1+(B5-1)*Assumptions!$B$8)/(H5/G5+Assumptions!$B$3)*60*Assumptions!$B$2</f>
        <v>446.40000000000003</v>
      </c>
      <c r="J5" s="3">
        <f>IF(B5=26,Assumptions!$B$11,IF(B5=1,Assumptions!$B$5,INT(Assumptions!$B$6*Assumptions!$B$4^(B5-2))))</f>
        <v>3232</v>
      </c>
      <c r="K5" s="3">
        <f>IF(B5=1,0,IF(C5&gt;C4,INDEX(Equipment!$B$2:$B$5,C5),0)+IF(D5&gt;D4,INDEX(Equipment!$F$2:$F$6,D5),0))</f>
        <v>7000</v>
      </c>
      <c r="L5" s="3">
        <f>(J5+K5)/I5</f>
        <v>22.921146953405017</v>
      </c>
      <c r="M5" s="3">
        <f>SUM(L$2:L5)</f>
        <v>64.25671503579706</v>
      </c>
    </row>
    <row r="6" spans="1:13">
      <c r="A6" t="s">
        <v>61</v>
      </c>
      <c r="B6">
        <v>5</v>
      </c>
      <c r="C6">
        <v>4</v>
      </c>
      <c r="D6">
        <v>5</v>
      </c>
      <c r="E6" s="3">
        <f>SUMPRODUCT(Blocks!$B$2:$B$4,INT(Blocks!$C$2:$C$4*Assumptions!$B$7^(B6-1)))</f>
        <v>3.7</v>
      </c>
      <c r="F6" s="3">
        <f>SUMPRODUCT(Blocks!$B$2:$B$4,ROUNDUP(Blocks!$D$2:$D$4/INDEX(Equipment!$C$2:$C$5,C6),0))</f>
        <v>1.0</v>
      </c>
      <c r="G6" s="3">
        <f>1/(F6*INDEX(Equipment!$D$2:$D$5,C6))</f>
        <v>4.166666666666667</v>
      </c>
      <c r="H6" s="3">
        <f>INDEX(Equipment!$E$2:$E$6,D6)</f>
        <v>480</v>
      </c>
      <c r="I6" s="3">
        <f>H6*E6*(1+(B6-1)*Assumptions!$B$8)/(H6/G6+Assumptions!$B$3)*60*Assumptions!$B$2</f>
        <v>730.2594249201279</v>
      </c>
      <c r="J6" s="3">
        <f>IF(B6=26,Assumptions!$B$11,IF(B6=1,Assumptions!$B$5,INT(Assumptions!$B$6*Assumptions!$B$4^(B6-2))))</f>
        <v>4330</v>
      </c>
      <c r="K6" s="3">
        <f>IF(B6=1,0,IF(C6&gt;C5,INDEX(Equipment!$B$2:$B$5,C6),0)+IF(D6&gt;D5,INDEX(Equipment!$F$2:$F$6,D6),0))</f>
        <v>10000</v>
      </c>
      <c r="L6" s="3">
        <f>(J6+K6)/I6</f>
        <v>19.62316337316337</v>
      </c>
      <c r="M6" s="3">
        <f>SUM(L$2:L6)</f>
        <v>83.87987840896042</v>
      </c>
    </row>
    <row r="7" spans="1:13">
      <c r="A7" t="s">
        <v>62</v>
      </c>
      <c r="B7">
        <v>6</v>
      </c>
      <c r="C7">
        <v>4</v>
      </c>
      <c r="D7">
        <v>5</v>
      </c>
      <c r="E7" s="3">
        <f>SUMPRODUCT(Blocks!$B$2:$B$4,INT(Blocks!$C$2:$C$4*Assumptions!$B$7^(B7-1)))</f>
        <v>4.1</v>
      </c>
      <c r="F7" s="3">
        <f>SUMPRODUCT(Blocks!$B$2:$B$4,ROUNDUP(Blocks!$D$2:$D$4/INDEX(Equipment!$C$2:$C$5,C7),0))</f>
        <v>1.0</v>
      </c>
      <c r="G7" s="3">
        <f>1/(F7*INDEX(Equipment!$D$2:$D$5,C7))</f>
        <v>4.166666666666667</v>
      </c>
      <c r="H7" s="3">
        <f>INDEX(Equipment!$E$2:$E$6,D7)</f>
        <v>480</v>
      </c>
      <c r="I7" s="3">
        <f>H7*E7*(1+(B7-1)*Assumptions!$B$8)/(H7/G7+Assumptions!$B$3)*60*Assumptions!$B$2</f>
        <v>858.2492012779552</v>
      </c>
      <c r="J7" s="3">
        <f>IF(B7=26,Assumptions!$B$11,IF(B7=1,Assumptions!$B$5,INT(Assumptions!$B$6*Assumptions!$B$4^(B7-2))))</f>
        <v>5803</v>
      </c>
      <c r="K7" s="3">
        <f>IF(B7=1,0,IF(C7&gt;C6,INDEX(Equipment!$B$2:$B$5,C7),0)+IF(D7&gt;D6,INDEX(Equipment!$F$2:$F$6,D7),0))</f>
        <v>0</v>
      </c>
      <c r="L7" s="3">
        <f>(J7+K7)/I7</f>
        <v>6.76143944131749</v>
      </c>
      <c r="M7" s="3">
        <f>SUM(L$2:L7)</f>
        <v>90.64131785027791</v>
      </c>
    </row>
    <row r="8" spans="1:13">
      <c r="A8" t="s">
        <v>63</v>
      </c>
      <c r="B8">
        <v>7</v>
      </c>
      <c r="C8">
        <v>4</v>
      </c>
      <c r="D8">
        <v>5</v>
      </c>
      <c r="E8" s="3">
        <f>SUMPRODUCT(Blocks!$B$2:$B$4,INT(Blocks!$C$2:$C$4*Assumptions!$B$7^(B8-1)))</f>
        <v>4.55</v>
      </c>
      <c r="F8" s="3">
        <f>SUMPRODUCT(Blocks!$B$2:$B$4,ROUNDUP(Blocks!$D$2:$D$4/INDEX(Equipment!$C$2:$C$5,C8),0))</f>
        <v>1.0</v>
      </c>
      <c r="G8" s="3">
        <f>1/(F8*INDEX(Equipment!$D$2:$D$5,C8))</f>
        <v>4.166666666666667</v>
      </c>
      <c r="H8" s="3">
        <f>INDEX(Equipment!$E$2:$E$6,D8)</f>
        <v>480</v>
      </c>
      <c r="I8" s="3">
        <f>H8*E8*(1+(B8-1)*Assumptions!$B$8)/(H8/G8+Assumptions!$B$3)*60*Assumptions!$B$2</f>
        <v>1006.8728434504794</v>
      </c>
      <c r="J8" s="3">
        <f>IF(B8=26,Assumptions!$B$11,IF(B8=1,Assumptions!$B$5,INT(Assumptions!$B$6*Assumptions!$B$4^(B8-2))))</f>
        <v>7776</v>
      </c>
      <c r="K8" s="3">
        <f>IF(B8=1,0,IF(C8&gt;C7,INDEX(Equipment!$B$2:$B$5,C8),0)+IF(D8&gt;D7,INDEX(Equipment!$F$2:$F$6,D8),0))</f>
        <v>0</v>
      </c>
      <c r="L8" s="3">
        <f>(J8+K8)/I8</f>
        <v>7.722921569075414</v>
      </c>
      <c r="M8" s="3">
        <f>SUM(L$2:L8)</f>
        <v>98.36423941935332</v>
      </c>
    </row>
    <row r="9" spans="1:13">
      <c r="A9" t="s">
        <v>64</v>
      </c>
      <c r="B9">
        <v>8</v>
      </c>
      <c r="C9">
        <v>4</v>
      </c>
      <c r="D9">
        <v>5</v>
      </c>
      <c r="E9" s="3">
        <f>SUMPRODUCT(Blocks!$B$2:$B$4,INT(Blocks!$C$2:$C$4*Assumptions!$B$7^(B9-1)))</f>
        <v>6.0</v>
      </c>
      <c r="F9" s="3">
        <f>SUMPRODUCT(Blocks!$B$2:$B$4,ROUNDUP(Blocks!$D$2:$D$4/INDEX(Equipment!$C$2:$C$5,C9),0))</f>
        <v>1.0</v>
      </c>
      <c r="G9" s="3">
        <f>1/(F9*INDEX(Equipment!$D$2:$D$5,C9))</f>
        <v>4.166666666666667</v>
      </c>
      <c r="H9" s="3">
        <f>INDEX(Equipment!$E$2:$E$6,D9)</f>
        <v>480</v>
      </c>
      <c r="I9" s="3">
        <f>H9*E9*(1+(B9-1)*Assumptions!$B$8)/(H9/G9+Assumptions!$B$3)*60*Assumptions!$B$2</f>
        <v>1399.5143769968056</v>
      </c>
      <c r="J9" s="3">
        <f>IF(B9=26,Assumptions!$B$11,IF(B9=1,Assumptions!$B$5,INT(Assumptions!$B$6*Assumptions!$B$4^(B9-2))))</f>
        <v>10420</v>
      </c>
      <c r="K9" s="3">
        <f>IF(B9=1,0,IF(C9&gt;C8,INDEX(Equipment!$B$2:$B$5,C9),0)+IF(D9&gt;D8,INDEX(Equipment!$F$2:$F$6,D9),0))</f>
        <v>0</v>
      </c>
      <c r="L9" s="3">
        <f>(J9+K9)/I9</f>
        <v>7.445439769157716</v>
      </c>
      <c r="M9" s="3">
        <f>SUM(L$2:L9)</f>
        <v>105.80967918851104</v>
      </c>
    </row>
    <row r="10" spans="1:13">
      <c r="A10" t="s">
        <v>65</v>
      </c>
      <c r="B10">
        <v>9</v>
      </c>
      <c r="C10">
        <v>4</v>
      </c>
      <c r="D10">
        <v>5</v>
      </c>
      <c r="E10" s="3">
        <f>SUMPRODUCT(Blocks!$B$2:$B$4,INT(Blocks!$C$2:$C$4*Assumptions!$B$7^(B10-1)))</f>
        <v>7.5</v>
      </c>
      <c r="F10" s="3">
        <f>SUMPRODUCT(Blocks!$B$2:$B$4,ROUNDUP(Blocks!$D$2:$D$4/INDEX(Equipment!$C$2:$C$5,C10),0))</f>
        <v>1.0</v>
      </c>
      <c r="G10" s="3">
        <f>1/(F10*INDEX(Equipment!$D$2:$D$5,C10))</f>
        <v>4.166666666666667</v>
      </c>
      <c r="H10" s="3">
        <f>INDEX(Equipment!$E$2:$E$6,D10)</f>
        <v>480</v>
      </c>
      <c r="I10" s="3">
        <f>H10*E10*(1+(B10-1)*Assumptions!$B$8)/(H10/G10+Assumptions!$B$3)*60*Assumptions!$B$2</f>
        <v>1839.1054313099044</v>
      </c>
      <c r="J10" s="3">
        <f>IF(B10=26,Assumptions!$B$11,IF(B10=1,Assumptions!$B$5,INT(Assumptions!$B$6*Assumptions!$B$4^(B10-2))))</f>
        <v>13963</v>
      </c>
      <c r="K10" s="3">
        <f>IF(B10=1,0,IF(C10&gt;C9,INDEX(Equipment!$B$2:$B$5,C10),0)+IF(D10&gt;D9,INDEX(Equipment!$F$2:$F$6,D10),0))</f>
        <v>0</v>
      </c>
      <c r="L10" s="3">
        <f>(J10+K10)/I10</f>
        <v>7.592278159961086</v>
      </c>
      <c r="M10" s="3">
        <f>SUM(L$2:L10)</f>
        <v>113.40195734847212</v>
      </c>
    </row>
    <row r="11" spans="1:13">
      <c r="A11" t="s">
        <v>66</v>
      </c>
      <c r="B11">
        <v>10</v>
      </c>
      <c r="C11">
        <v>4</v>
      </c>
      <c r="D11">
        <v>5</v>
      </c>
      <c r="E11" s="3">
        <f>SUMPRODUCT(Blocks!$B$2:$B$4,INT(Blocks!$C$2:$C$4*Assumptions!$B$7^(B11-1)))</f>
        <v>9.3</v>
      </c>
      <c r="F11" s="3">
        <f>SUMPRODUCT(Blocks!$B$2:$B$4,ROUNDUP(Blocks!$D$2:$D$4/INDEX(Equipment!$C$2:$C$5,C11),0))</f>
        <v>1.0</v>
      </c>
      <c r="G11" s="3">
        <f>1/(F11*INDEX(Equipment!$D$2:$D$5,C11))</f>
        <v>4.166666666666667</v>
      </c>
      <c r="H11" s="3">
        <f>INDEX(Equipment!$E$2:$E$6,D11)</f>
        <v>480</v>
      </c>
      <c r="I11" s="3">
        <f>H11*E11*(1+(B11-1)*Assumptions!$B$8)/(H11/G11+Assumptions!$B$3)*60*Assumptions!$B$2</f>
        <v>2391.7341853035146</v>
      </c>
      <c r="J11" s="3">
        <f>IF(B11=26,Assumptions!$B$11,IF(B11=1,Assumptions!$B$5,INT(Assumptions!$B$6*Assumptions!$B$4^(B11-2))))</f>
        <v>18711</v>
      </c>
      <c r="K11" s="3">
        <f>IF(B11=1,0,IF(C11&gt;C10,INDEX(Equipment!$B$2:$B$5,C11),0)+IF(D11&gt;D10,INDEX(Equipment!$F$2:$F$6,D11),0))</f>
        <v>0</v>
      </c>
      <c r="L11" s="3">
        <f>(J11+K11)/I11</f>
        <v>7.823193779214034</v>
      </c>
      <c r="M11" s="3">
        <f>SUM(L$2:L11)</f>
        <v>121.22515112768616</v>
      </c>
    </row>
    <row r="12" spans="1:13">
      <c r="A12" t="s">
        <v>67</v>
      </c>
      <c r="B12">
        <v>11</v>
      </c>
      <c r="C12">
        <v>4</v>
      </c>
      <c r="D12">
        <v>5</v>
      </c>
      <c r="E12" s="3">
        <f>SUMPRODUCT(Blocks!$B$2:$B$4,INT(Blocks!$C$2:$C$4*Assumptions!$B$7^(B12-1)))</f>
        <v>11.149999999999999</v>
      </c>
      <c r="F12" s="3">
        <f>SUMPRODUCT(Blocks!$B$2:$B$4,ROUNDUP(Blocks!$D$2:$D$4/INDEX(Equipment!$C$2:$C$5,C12),0))</f>
        <v>1.0</v>
      </c>
      <c r="G12" s="3">
        <f>1/(F12*INDEX(Equipment!$D$2:$D$5,C12))</f>
        <v>4.166666666666667</v>
      </c>
      <c r="H12" s="3">
        <f>INDEX(Equipment!$E$2:$E$6,D12)</f>
        <v>480</v>
      </c>
      <c r="I12" s="3">
        <f>H12*E12*(1+(B12-1)*Assumptions!$B$8)/(H12/G12+Assumptions!$B$3)*60*Assumptions!$B$2</f>
        <v>3000.88178913738</v>
      </c>
      <c r="J12" s="3">
        <f>IF(B12=26,Assumptions!$B$11,IF(B12=1,Assumptions!$B$5,INT(Assumptions!$B$6*Assumptions!$B$4^(B12-2))))</f>
        <v>25073</v>
      </c>
      <c r="K12" s="3">
        <f>IF(B12=1,0,IF(C12&gt;C11,INDEX(Equipment!$B$2:$B$5,C12),0)+IF(D12&gt;D11,INDEX(Equipment!$F$2:$F$6,D12),0))</f>
        <v>0</v>
      </c>
      <c r="L12" s="3">
        <f>(J12+K12)/I12</f>
        <v>8.355210821952227</v>
      </c>
      <c r="M12" s="3">
        <f>SUM(L$2:L12)</f>
        <v>129.5803619496384</v>
      </c>
    </row>
    <row r="13" spans="1:13">
      <c r="A13" t="s">
        <v>68</v>
      </c>
      <c r="B13">
        <v>12</v>
      </c>
      <c r="C13">
        <v>4</v>
      </c>
      <c r="D13">
        <v>5</v>
      </c>
      <c r="E13" s="3">
        <f>SUMPRODUCT(Blocks!$B$2:$B$4,INT(Blocks!$C$2:$C$4*Assumptions!$B$7^(B13-1)))</f>
        <v>13.35</v>
      </c>
      <c r="F13" s="3">
        <f>SUMPRODUCT(Blocks!$B$2:$B$4,ROUNDUP(Blocks!$D$2:$D$4/INDEX(Equipment!$C$2:$C$5,C13),0))</f>
        <v>1.0</v>
      </c>
      <c r="G13" s="3">
        <f>1/(F13*INDEX(Equipment!$D$2:$D$5,C13))</f>
        <v>4.166666666666667</v>
      </c>
      <c r="H13" s="3">
        <f>INDEX(Equipment!$E$2:$E$6,D13)</f>
        <v>480</v>
      </c>
      <c r="I13" s="3">
        <f>H13*E13*(1+(B13-1)*Assumptions!$B$8)/(H13/G13+Assumptions!$B$3)*60*Assumptions!$B$2</f>
        <v>3752.6722044728435</v>
      </c>
      <c r="J13" s="3">
        <f>IF(B13=26,Assumptions!$B$11,IF(B13=1,Assumptions!$B$5,INT(Assumptions!$B$6*Assumptions!$B$4^(B13-2))))</f>
        <v>33598</v>
      </c>
      <c r="K13" s="3">
        <f>IF(B13=1,0,IF(C13&gt;C12,INDEX(Equipment!$B$2:$B$5,C13),0)+IF(D13&gt;D12,INDEX(Equipment!$F$2:$F$6,D13),0))</f>
        <v>0</v>
      </c>
      <c r="L13" s="3">
        <f>(J13+K13)/I13</f>
        <v>8.953086805704544</v>
      </c>
      <c r="M13" s="3">
        <f>SUM(L$2:L13)</f>
        <v>138.53344875534293</v>
      </c>
    </row>
    <row r="14" spans="1:13">
      <c r="A14" t="s">
        <v>69</v>
      </c>
      <c r="B14">
        <v>13</v>
      </c>
      <c r="C14">
        <v>4</v>
      </c>
      <c r="D14">
        <v>5</v>
      </c>
      <c r="E14" s="3">
        <f>SUMPRODUCT(Blocks!$B$2:$B$4,INT(Blocks!$C$2:$C$4*Assumptions!$B$7^(B14-1)))</f>
        <v>15.65</v>
      </c>
      <c r="F14" s="3">
        <f>SUMPRODUCT(Blocks!$B$2:$B$4,ROUNDUP(Blocks!$D$2:$D$4/INDEX(Equipment!$C$2:$C$5,C14),0))</f>
        <v>1.0</v>
      </c>
      <c r="G14" s="3">
        <f>1/(F14*INDEX(Equipment!$D$2:$D$5,C14))</f>
        <v>4.166666666666667</v>
      </c>
      <c r="H14" s="3">
        <f>INDEX(Equipment!$E$2:$E$6,D14)</f>
        <v>480</v>
      </c>
      <c r="I14" s="3">
        <f>H14*E14*(1+(B14-1)*Assumptions!$B$8)/(H14/G14+Assumptions!$B$3)*60*Assumptions!$B$2</f>
        <v>4586.400000000001</v>
      </c>
      <c r="J14" s="3">
        <f>IF(B14=26,Assumptions!$B$11,IF(B14=1,Assumptions!$B$5,INT(Assumptions!$B$6*Assumptions!$B$4^(B14-2))))</f>
        <v>45022</v>
      </c>
      <c r="K14" s="3">
        <f>IF(B14=1,0,IF(C14&gt;C13,INDEX(Equipment!$B$2:$B$5,C14),0)+IF(D14&gt;D13,INDEX(Equipment!$F$2:$F$6,D14),0))</f>
        <v>0</v>
      </c>
      <c r="L14" s="3">
        <f>(J14+K14)/I14</f>
        <v>9.816413744985173</v>
      </c>
      <c r="M14" s="3">
        <f>SUM(L$2:L14)</f>
        <v>148.3498625003281</v>
      </c>
    </row>
    <row r="15" spans="1:13">
      <c r="A15" t="s">
        <v>70</v>
      </c>
      <c r="B15">
        <v>14</v>
      </c>
      <c r="C15">
        <v>4</v>
      </c>
      <c r="D15">
        <v>5</v>
      </c>
      <c r="E15" s="3">
        <f>SUMPRODUCT(Blocks!$B$2:$B$4,INT(Blocks!$C$2:$C$4*Assumptions!$B$7^(B15-1)))</f>
        <v>19.25</v>
      </c>
      <c r="F15" s="3">
        <f>SUMPRODUCT(Blocks!$B$2:$B$4,ROUNDUP(Blocks!$D$2:$D$4/INDEX(Equipment!$C$2:$C$5,C15),0))</f>
        <v>1.0</v>
      </c>
      <c r="G15" s="3">
        <f>1/(F15*INDEX(Equipment!$D$2:$D$5,C15))</f>
        <v>4.166666666666667</v>
      </c>
      <c r="H15" s="3">
        <f>INDEX(Equipment!$E$2:$E$6,D15)</f>
        <v>480</v>
      </c>
      <c r="I15" s="3">
        <f>H15*E15*(1+(B15-1)*Assumptions!$B$8)/(H15/G15+Assumptions!$B$3)*60*Assumptions!$B$2</f>
        <v>5871.680511182109</v>
      </c>
      <c r="J15" s="3">
        <f>IF(B15=26,Assumptions!$B$11,IF(B15=1,Assumptions!$B$5,INT(Assumptions!$B$6*Assumptions!$B$4^(B15-2))))</f>
        <v>60329</v>
      </c>
      <c r="K15" s="3">
        <f>IF(B15=1,0,IF(C15&gt;C14,INDEX(Equipment!$B$2:$B$5,C15),0)+IF(D15&gt;D14,INDEX(Equipment!$F$2:$F$6,D15),0))</f>
        <v>0</v>
      </c>
      <c r="L15" s="3">
        <f>(J15+K15)/I15</f>
        <v>10.274571289277171</v>
      </c>
      <c r="M15" s="3">
        <f>SUM(L$2:L15)</f>
        <v>158.62443378960526</v>
      </c>
    </row>
    <row r="16" spans="1:13">
      <c r="A16" t="s">
        <v>71</v>
      </c>
      <c r="B16">
        <v>15</v>
      </c>
      <c r="C16">
        <v>4</v>
      </c>
      <c r="D16">
        <v>5</v>
      </c>
      <c r="E16" s="3">
        <f>SUMPRODUCT(Blocks!$B$2:$B$4,INT(Blocks!$C$2:$C$4*Assumptions!$B$7^(B16-1)))</f>
        <v>23.0</v>
      </c>
      <c r="F16" s="3">
        <f>SUMPRODUCT(Blocks!$B$2:$B$4,ROUNDUP(Blocks!$D$2:$D$4/INDEX(Equipment!$C$2:$C$5,C16),0))</f>
        <v>1.0</v>
      </c>
      <c r="G16" s="3">
        <f>1/(F16*INDEX(Equipment!$D$2:$D$5,C16))</f>
        <v>4.166666666666667</v>
      </c>
      <c r="H16" s="3">
        <f>INDEX(Equipment!$E$2:$E$6,D16)</f>
        <v>480</v>
      </c>
      <c r="I16" s="3">
        <f>H16*E16*(1+(B16-1)*Assumptions!$B$8)/(H16/G16+Assumptions!$B$3)*60*Assumptions!$B$2</f>
        <v>7290.632587859426</v>
      </c>
      <c r="J16" s="3">
        <f>IF(B16=26,Assumptions!$B$11,IF(B16=1,Assumptions!$B$5,INT(Assumptions!$B$6*Assumptions!$B$4^(B16-2))))</f>
        <v>80841</v>
      </c>
      <c r="K16" s="3">
        <f>IF(B16=1,0,IF(C16&gt;C15,INDEX(Equipment!$B$2:$B$5,C16),0)+IF(D16&gt;D15,INDEX(Equipment!$F$2:$F$6,D16),0))</f>
        <v>0</v>
      </c>
      <c r="L16" s="3">
        <f>(J16+K16)/I16</f>
        <v>11.088338223848886</v>
      </c>
      <c r="M16" s="3">
        <f>SUM(L$2:L16)</f>
        <v>169.71277201345416</v>
      </c>
    </row>
    <row r="17" spans="1:13">
      <c r="A17" t="s">
        <v>72</v>
      </c>
      <c r="B17">
        <v>16</v>
      </c>
      <c r="C17">
        <v>4</v>
      </c>
      <c r="D17">
        <v>5</v>
      </c>
      <c r="E17" s="3">
        <f>SUMPRODUCT(Blocks!$B$2:$B$4,INT(Blocks!$C$2:$C$4*Assumptions!$B$7^(B17-1)))</f>
        <v>28.15</v>
      </c>
      <c r="F17" s="3">
        <f>SUMPRODUCT(Blocks!$B$2:$B$4,ROUNDUP(Blocks!$D$2:$D$4/INDEX(Equipment!$C$2:$C$5,C17),0))</f>
        <v>1.0</v>
      </c>
      <c r="G17" s="3">
        <f>1/(F17*INDEX(Equipment!$D$2:$D$5,C17))</f>
        <v>4.166666666666667</v>
      </c>
      <c r="H17" s="3">
        <f>INDEX(Equipment!$E$2:$E$6,D17)</f>
        <v>480</v>
      </c>
      <c r="I17" s="3">
        <f>H17*E17*(1+(B17-1)*Assumptions!$B$8)/(H17/G17+Assumptions!$B$3)*60*Assumptions!$B$2</f>
        <v>9259.821086261982</v>
      </c>
      <c r="J17" s="3">
        <f>IF(B17=26,Assumptions!$B$11,IF(B17=1,Assumptions!$B$5,INT(Assumptions!$B$6*Assumptions!$B$4^(B17-2))))</f>
        <v>108327</v>
      </c>
      <c r="K17" s="3">
        <f>IF(B17=1,0,IF(C17&gt;C16,INDEX(Equipment!$B$2:$B$5,C17),0)+IF(D17&gt;D16,INDEX(Equipment!$F$2:$F$6,D17),0))</f>
        <v>0</v>
      </c>
      <c r="L17" s="3">
        <f>(J17+K17)/I17</f>
        <v>11.698606159973831</v>
      </c>
      <c r="M17" s="3">
        <f>SUM(L$2:L17)</f>
        <v>181.41137817342798</v>
      </c>
    </row>
    <row r="18" spans="1:13">
      <c r="A18" t="s">
        <v>73</v>
      </c>
      <c r="B18">
        <v>17</v>
      </c>
      <c r="C18">
        <v>4</v>
      </c>
      <c r="D18">
        <v>5</v>
      </c>
      <c r="E18" s="3">
        <f>SUMPRODUCT(Blocks!$B$2:$B$4,INT(Blocks!$C$2:$C$4*Assumptions!$B$7^(B18-1)))</f>
        <v>33.7</v>
      </c>
      <c r="F18" s="3">
        <f>SUMPRODUCT(Blocks!$B$2:$B$4,ROUNDUP(Blocks!$D$2:$D$4/INDEX(Equipment!$C$2:$C$5,C18),0))</f>
        <v>1.0</v>
      </c>
      <c r="G18" s="3">
        <f>1/(F18*INDEX(Equipment!$D$2:$D$5,C18))</f>
        <v>4.166666666666667</v>
      </c>
      <c r="H18" s="3">
        <f>INDEX(Equipment!$E$2:$E$6,D18)</f>
        <v>480</v>
      </c>
      <c r="I18" s="3">
        <f>H18*E18*(1+(B18-1)*Assumptions!$B$8)/(H18/G18+Assumptions!$B$3)*60*Assumptions!$B$2</f>
        <v>11488.577635782753</v>
      </c>
      <c r="J18" s="3">
        <f>IF(B18=26,Assumptions!$B$11,IF(B18=1,Assumptions!$B$5,INT(Assumptions!$B$6*Assumptions!$B$4^(B18-2))))</f>
        <v>145159</v>
      </c>
      <c r="K18" s="3">
        <f>IF(B18=1,0,IF(C18&gt;C17,INDEX(Equipment!$B$2:$B$5,C18),0)+IF(D18&gt;D17,INDEX(Equipment!$F$2:$F$6,D18),0))</f>
        <v>0</v>
      </c>
      <c r="L18" s="3">
        <f>(J18+K18)/I18</f>
        <v>12.63507151206276</v>
      </c>
      <c r="M18" s="3">
        <f>SUM(L$2:L18)</f>
        <v>194.04644968549073</v>
      </c>
    </row>
    <row r="19" spans="1:13">
      <c r="A19" t="s">
        <v>74</v>
      </c>
      <c r="B19">
        <v>18</v>
      </c>
      <c r="C19">
        <v>4</v>
      </c>
      <c r="D19">
        <v>5</v>
      </c>
      <c r="E19" s="3">
        <f>SUMPRODUCT(Blocks!$B$2:$B$4,INT(Blocks!$C$2:$C$4*Assumptions!$B$7^(B19-1)))</f>
        <v>40.75</v>
      </c>
      <c r="F19" s="3">
        <f>SUMPRODUCT(Blocks!$B$2:$B$4,ROUNDUP(Blocks!$D$2:$D$4/INDEX(Equipment!$C$2:$C$5,C19),0))</f>
        <v>1.0</v>
      </c>
      <c r="G19" s="3">
        <f>1/(F19*INDEX(Equipment!$D$2:$D$5,C19))</f>
        <v>4.166666666666667</v>
      </c>
      <c r="H19" s="3">
        <f>INDEX(Equipment!$E$2:$E$6,D19)</f>
        <v>480</v>
      </c>
      <c r="I19" s="3">
        <f>H19*E19*(1+(B19-1)*Assumptions!$B$8)/(H19/G19+Assumptions!$B$3)*60*Assumptions!$B$2</f>
        <v>14379.412140575085</v>
      </c>
      <c r="J19" s="3">
        <f>IF(B19=26,Assumptions!$B$11,IF(B19=1,Assumptions!$B$5,INT(Assumptions!$B$6*Assumptions!$B$4^(B19-2))))</f>
        <v>194513</v>
      </c>
      <c r="K19" s="3">
        <f>IF(B19=1,0,IF(C19&gt;C18,INDEX(Equipment!$B$2:$B$5,C19),0)+IF(D19&gt;D18,INDEX(Equipment!$F$2:$F$6,D19),0))</f>
        <v>0</v>
      </c>
      <c r="L19" s="3">
        <f>(J19+K19)/I19</f>
        <v>13.527187210326439</v>
      </c>
      <c r="M19" s="3">
        <f>SUM(L$2:L19)</f>
        <v>207.57363689581717</v>
      </c>
    </row>
    <row r="20" spans="1:13">
      <c r="A20" t="s">
        <v>75</v>
      </c>
      <c r="B20">
        <v>19</v>
      </c>
      <c r="C20">
        <v>4</v>
      </c>
      <c r="D20">
        <v>5</v>
      </c>
      <c r="E20" s="3">
        <f>SUMPRODUCT(Blocks!$B$2:$B$4,INT(Blocks!$C$2:$C$4*Assumptions!$B$7^(B20-1)))</f>
        <v>48.55</v>
      </c>
      <c r="F20" s="3">
        <f>SUMPRODUCT(Blocks!$B$2:$B$4,ROUNDUP(Blocks!$D$2:$D$4/INDEX(Equipment!$C$2:$C$5,C20),0))</f>
        <v>1.0</v>
      </c>
      <c r="G20" s="3">
        <f>1/(F20*INDEX(Equipment!$D$2:$D$5,C20))</f>
        <v>4.166666666666667</v>
      </c>
      <c r="H20" s="3">
        <f>INDEX(Equipment!$E$2:$E$6,D20)</f>
        <v>480</v>
      </c>
      <c r="I20" s="3">
        <f>H20*E20*(1+(B20-1)*Assumptions!$B$8)/(H20/G20+Assumptions!$B$3)*60*Assumptions!$B$2</f>
        <v>17712.529073482434</v>
      </c>
      <c r="J20" s="3">
        <f>IF(B20=26,Assumptions!$B$11,IF(B20=1,Assumptions!$B$5,INT(Assumptions!$B$6*Assumptions!$B$4^(B20-2))))</f>
        <v>260647</v>
      </c>
      <c r="K20" s="3">
        <f>IF(B20=1,0,IF(C20&gt;C19,INDEX(Equipment!$B$2:$B$5,C20),0)+IF(D20&gt;D19,INDEX(Equipment!$F$2:$F$6,D20),0))</f>
        <v>0</v>
      </c>
      <c r="L20" s="3">
        <f>(J20+K20)/I20</f>
        <v>14.715402804346933</v>
      </c>
      <c r="M20" s="3">
        <f>SUM(L$2:L20)</f>
        <v>222.2890397001641</v>
      </c>
    </row>
    <row r="21" spans="1:13">
      <c r="A21" t="s">
        <v>76</v>
      </c>
      <c r="B21">
        <v>20</v>
      </c>
      <c r="C21">
        <v>4</v>
      </c>
      <c r="D21">
        <v>5</v>
      </c>
      <c r="E21" s="3">
        <f>SUMPRODUCT(Blocks!$B$2:$B$4,INT(Blocks!$C$2:$C$4*Assumptions!$B$7^(B21-1)))</f>
        <v>58.2</v>
      </c>
      <c r="F21" s="3">
        <f>SUMPRODUCT(Blocks!$B$2:$B$4,ROUNDUP(Blocks!$D$2:$D$4/INDEX(Equipment!$C$2:$C$5,C21),0))</f>
        <v>1.0</v>
      </c>
      <c r="G21" s="3">
        <f>1/(F21*INDEX(Equipment!$D$2:$D$5,C21))</f>
        <v>4.166666666666667</v>
      </c>
      <c r="H21" s="3">
        <f>INDEX(Equipment!$E$2:$E$6,D21)</f>
        <v>480</v>
      </c>
      <c r="I21" s="3">
        <f>H21*E21*(1+(B21-1)*Assumptions!$B$8)/(H21/G21+Assumptions!$B$3)*60*Assumptions!$B$2</f>
        <v>21929.313738019173</v>
      </c>
      <c r="J21" s="3">
        <f>IF(B21=26,Assumptions!$B$11,IF(B21=1,Assumptions!$B$5,INT(Assumptions!$B$6*Assumptions!$B$4^(B21-2))))</f>
        <v>349268</v>
      </c>
      <c r="K21" s="3">
        <f>IF(B21=1,0,IF(C21&gt;C20,INDEX(Equipment!$B$2:$B$5,C21),0)+IF(D21&gt;D20,INDEX(Equipment!$F$2:$F$6,D21),0))</f>
        <v>0</v>
      </c>
      <c r="L21" s="3">
        <f>(J21+K21)/I21</f>
        <v>15.926991796121232</v>
      </c>
      <c r="M21" s="3">
        <f>SUM(L$2:L21)</f>
        <v>238.21603149628532</v>
      </c>
    </row>
    <row r="22" spans="1:13">
      <c r="A22" t="s">
        <v>77</v>
      </c>
      <c r="B22">
        <v>21</v>
      </c>
      <c r="C22">
        <v>4</v>
      </c>
      <c r="D22">
        <v>5</v>
      </c>
      <c r="E22" s="3">
        <f>SUMPRODUCT(Blocks!$B$2:$B$4,INT(Blocks!$C$2:$C$4*Assumptions!$B$7^(B22-1)))</f>
        <v>70.65</v>
      </c>
      <c r="F22" s="3">
        <f>SUMPRODUCT(Blocks!$B$2:$B$4,ROUNDUP(Blocks!$D$2:$D$4/INDEX(Equipment!$C$2:$C$5,C22),0))</f>
        <v>1.0</v>
      </c>
      <c r="G22" s="3">
        <f>1/(F22*INDEX(Equipment!$D$2:$D$5,C22))</f>
        <v>4.166666666666667</v>
      </c>
      <c r="H22" s="3">
        <f>INDEX(Equipment!$E$2:$E$6,D22)</f>
        <v>480</v>
      </c>
      <c r="I22" s="3">
        <f>H22*E22*(1+(B22-1)*Assumptions!$B$8)/(H22/G22+Assumptions!$B$3)*60*Assumptions!$B$2</f>
        <v>27465.469648562303</v>
      </c>
      <c r="J22" s="3">
        <f>IF(B22=26,Assumptions!$B$11,IF(B22=1,Assumptions!$B$5,INT(Assumptions!$B$6*Assumptions!$B$4^(B22-2))))</f>
        <v>468019</v>
      </c>
      <c r="K22" s="3">
        <f>IF(B22=1,0,IF(C22&gt;C21,INDEX(Equipment!$B$2:$B$5,C22),0)+IF(D22&gt;D21,INDEX(Equipment!$F$2:$F$6,D22),0))</f>
        <v>0</v>
      </c>
      <c r="L22" s="3">
        <f>(J22+K22)/I22</f>
        <v>17.040269326852698</v>
      </c>
      <c r="M22" s="3">
        <f>SUM(L$2:L22)</f>
        <v>255.25630082313802</v>
      </c>
    </row>
    <row r="23" spans="1:13">
      <c r="A23" t="s">
        <v>78</v>
      </c>
      <c r="B23">
        <v>22</v>
      </c>
      <c r="C23">
        <v>4</v>
      </c>
      <c r="D23">
        <v>5</v>
      </c>
      <c r="E23" s="3">
        <f>SUMPRODUCT(Blocks!$B$2:$B$4,INT(Blocks!$C$2:$C$4*Assumptions!$B$7^(B23-1)))</f>
        <v>85.1</v>
      </c>
      <c r="F23" s="3">
        <f>SUMPRODUCT(Blocks!$B$2:$B$4,ROUNDUP(Blocks!$D$2:$D$4/INDEX(Equipment!$C$2:$C$5,C23),0))</f>
        <v>1.0</v>
      </c>
      <c r="G23" s="3">
        <f>1/(F23*INDEX(Equipment!$D$2:$D$5,C23))</f>
        <v>4.166666666666667</v>
      </c>
      <c r="H23" s="3">
        <f>INDEX(Equipment!$E$2:$E$6,D23)</f>
        <v>480</v>
      </c>
      <c r="I23" s="3">
        <f>H23*E23*(1+(B23-1)*Assumptions!$B$8)/(H23/G23+Assumptions!$B$3)*60*Assumptions!$B$2</f>
        <v>34100.90223642172</v>
      </c>
      <c r="J23" s="3">
        <f>IF(B23=26,Assumptions!$B$11,IF(B23=1,Assumptions!$B$5,INT(Assumptions!$B$6*Assumptions!$B$4^(B23-2))))</f>
        <v>627145</v>
      </c>
      <c r="K23" s="3">
        <f>IF(B23=1,0,IF(C23&gt;C22,INDEX(Equipment!$B$2:$B$5,C23),0)+IF(D23&gt;D22,INDEX(Equipment!$F$2:$F$6,D23),0))</f>
        <v>0</v>
      </c>
      <c r="L23" s="3">
        <f>(J23+K23)/I23</f>
        <v>18.390862378127142</v>
      </c>
      <c r="M23" s="3">
        <f>SUM(L$2:L23)</f>
        <v>273.6471632012652</v>
      </c>
    </row>
    <row r="24" spans="1:13">
      <c r="A24" t="s">
        <v>79</v>
      </c>
      <c r="B24">
        <v>23</v>
      </c>
      <c r="C24">
        <v>4</v>
      </c>
      <c r="D24">
        <v>5</v>
      </c>
      <c r="E24" s="3">
        <f>SUMPRODUCT(Blocks!$B$2:$B$4,INT(Blocks!$C$2:$C$4*Assumptions!$B$7^(B24-1)))</f>
        <v>101.8</v>
      </c>
      <c r="F24" s="3">
        <f>SUMPRODUCT(Blocks!$B$2:$B$4,ROUNDUP(Blocks!$D$2:$D$4/INDEX(Equipment!$C$2:$C$5,C24),0))</f>
        <v>1.0</v>
      </c>
      <c r="G24" s="3">
        <f>1/(F24*INDEX(Equipment!$D$2:$D$5,C24))</f>
        <v>4.166666666666667</v>
      </c>
      <c r="H24" s="3">
        <f>INDEX(Equipment!$E$2:$E$6,D24)</f>
        <v>480</v>
      </c>
      <c r="I24" s="3">
        <f>H24*E24*(1+(B24-1)*Assumptions!$B$8)/(H24/G24+Assumptions!$B$3)*60*Assumptions!$B$2</f>
        <v>42010.55079872204</v>
      </c>
      <c r="J24" s="3">
        <f>IF(B24=26,Assumptions!$B$11,IF(B24=1,Assumptions!$B$5,INT(Assumptions!$B$6*Assumptions!$B$4^(B24-2))))</f>
        <v>840375</v>
      </c>
      <c r="K24" s="3">
        <f>IF(B24=1,0,IF(C24&gt;C23,INDEX(Equipment!$B$2:$B$5,C24),0)+IF(D24&gt;D23,INDEX(Equipment!$F$2:$F$6,D24),0))</f>
        <v>0</v>
      </c>
      <c r="L24" s="3">
        <f>(J24+K24)/I24</f>
        <v>20.003903400989547</v>
      </c>
      <c r="M24" s="3">
        <f>SUM(L$2:L24)</f>
        <v>293.65106660225473</v>
      </c>
    </row>
    <row r="25" spans="1:13">
      <c r="A25" t="s">
        <v>80</v>
      </c>
      <c r="B25">
        <v>24</v>
      </c>
      <c r="C25">
        <v>4</v>
      </c>
      <c r="D25">
        <v>5</v>
      </c>
      <c r="E25" s="3">
        <f>SUMPRODUCT(Blocks!$B$2:$B$4,INT(Blocks!$C$2:$C$4*Assumptions!$B$7^(B25-1)))</f>
        <v>122.15</v>
      </c>
      <c r="F25" s="3">
        <f>SUMPRODUCT(Blocks!$B$2:$B$4,ROUNDUP(Blocks!$D$2:$D$4/INDEX(Equipment!$C$2:$C$5,C25),0))</f>
        <v>1.0</v>
      </c>
      <c r="G25" s="3">
        <f>1/(F25*INDEX(Equipment!$D$2:$D$5,C25))</f>
        <v>4.166666666666667</v>
      </c>
      <c r="H25" s="3">
        <f>INDEX(Equipment!$E$2:$E$6,D25)</f>
        <v>480</v>
      </c>
      <c r="I25" s="3">
        <f>H25*E25*(1+(B25-1)*Assumptions!$B$8)/(H25/G25+Assumptions!$B$3)*60*Assumptions!$B$2</f>
        <v>51869.65111821087</v>
      </c>
      <c r="J25" s="3">
        <f>IF(B25=26,Assumptions!$B$11,IF(B25=1,Assumptions!$B$5,INT(Assumptions!$B$6*Assumptions!$B$4^(B25-2))))</f>
        <v>1126102</v>
      </c>
      <c r="K25" s="3">
        <f>IF(B25=1,0,IF(C25&gt;C24,INDEX(Equipment!$B$2:$B$5,C25),0)+IF(D25&gt;D24,INDEX(Equipment!$F$2:$F$6,D25),0))</f>
        <v>0</v>
      </c>
      <c r="L25" s="3">
        <f>(J25+K25)/I25</f>
        <v>21.71022892430132</v>
      </c>
      <c r="M25" s="3">
        <f>SUM(L$2:L25)</f>
        <v>315.36129552655603</v>
      </c>
    </row>
    <row r="26" spans="1:13">
      <c r="A26" t="s">
        <v>81</v>
      </c>
      <c r="B26">
        <v>25</v>
      </c>
      <c r="C26">
        <v>4</v>
      </c>
      <c r="D26">
        <v>5</v>
      </c>
      <c r="E26" s="3">
        <f>SUMPRODUCT(Blocks!$B$2:$B$4,INT(Blocks!$C$2:$C$4*Assumptions!$B$7^(B26-1)))</f>
        <v>146.55</v>
      </c>
      <c r="F26" s="3">
        <f>SUMPRODUCT(Blocks!$B$2:$B$4,ROUNDUP(Blocks!$D$2:$D$4/INDEX(Equipment!$C$2:$C$5,C26),0))</f>
        <v>1.0</v>
      </c>
      <c r="G26" s="3">
        <f>1/(F26*INDEX(Equipment!$D$2:$D$5,C26))</f>
        <v>4.166666666666667</v>
      </c>
      <c r="H26" s="3">
        <f>INDEX(Equipment!$E$2:$E$6,D26)</f>
        <v>480</v>
      </c>
      <c r="I26" s="3">
        <f>H26*E26*(1+(B26-1)*Assumptions!$B$8)/(H26/G26+Assumptions!$B$3)*60*Assumptions!$B$2</f>
        <v>63983.82364217253</v>
      </c>
      <c r="J26" s="3">
        <f>IF(B26=26,Assumptions!$B$11,IF(B26=1,Assumptions!$B$5,INT(Assumptions!$B$6*Assumptions!$B$4^(B26-2))))</f>
        <v>1508977</v>
      </c>
      <c r="K26" s="3">
        <f>IF(B26=1,0,IF(C26&gt;C25,INDEX(Equipment!$B$2:$B$5,C26),0)+IF(D26&gt;D25,INDEX(Equipment!$F$2:$F$6,D26),0))</f>
        <v>0</v>
      </c>
      <c r="L26" s="3">
        <f>(J26+K26)/I26</f>
        <v>23.583726543741825</v>
      </c>
      <c r="M26" s="3">
        <f>SUM(L$2:L26)</f>
        <v>338.94502207029785</v>
      </c>
    </row>
    <row r="27" spans="1:13">
      <c r="A27" t="s">
        <v>82</v>
      </c>
      <c r="B27">
        <v>26</v>
      </c>
      <c r="C27">
        <v>4</v>
      </c>
      <c r="D27">
        <v>5</v>
      </c>
      <c r="E27" s="3">
        <f>SUMPRODUCT(Blocks!$B$2:$B$4,INT(Blocks!$C$2:$C$4*Assumptions!$B$7^(B27-1)))</f>
        <v>176.15</v>
      </c>
      <c r="F27" s="3">
        <f>SUMPRODUCT(Blocks!$B$2:$B$4,ROUNDUP(Blocks!$D$2:$D$4/INDEX(Equipment!$C$2:$C$5,C27),0))</f>
        <v>1.0</v>
      </c>
      <c r="G27" s="3">
        <f>1/(F27*INDEX(Equipment!$D$2:$D$5,C27))</f>
        <v>4.166666666666667</v>
      </c>
      <c r="H27" s="3">
        <f>INDEX(Equipment!$E$2:$E$6,D27)</f>
        <v>480</v>
      </c>
      <c r="I27" s="3">
        <f>H27*E27*(1+(B27-1)*Assumptions!$B$8)/(H27/G27+Assumptions!$B$3)*60*Assumptions!$B$2</f>
        <v>79014.24920127797</v>
      </c>
      <c r="J27" s="3">
        <f>IF(B27=26,Assumptions!$B$11,IF(B27=1,Assumptions!$B$5,INT(Assumptions!$B$6*Assumptions!$B$4^(B27-2))))</f>
        <v>120000</v>
      </c>
      <c r="K27" s="3">
        <f>IF(B27=1,0,IF(C27&gt;C26,INDEX(Equipment!$B$2:$B$5,C27),0)+IF(D27&gt;D26,INDEX(Equipment!$F$2:$F$6,D27),0))</f>
        <v>0</v>
      </c>
      <c r="L27" s="3">
        <f>(J27+K27)/I27</f>
        <v>1.5187134119861907</v>
      </c>
      <c r="M27" s="3">
        <f>SUM(L$2:L27)</f>
        <v>340.46373548228405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9.7109375" customWidth="1"/>
  </cols>
  <sheetData>
    <row r="1" spans="1:6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 t="s">
        <v>89</v>
      </c>
      <c r="B2">
        <v>1</v>
      </c>
      <c r="C2">
        <v>1</v>
      </c>
      <c r="D2">
        <v>1</v>
      </c>
      <c r="E2">
        <v>1</v>
      </c>
      <c r="F2" s="3">
        <f>Ranks!M27/60/PRODUCT(B2:E2)</f>
        <v>5.674395591371401</v>
      </c>
    </row>
    <row r="3" spans="1:6">
      <c r="A3" t="s">
        <v>84</v>
      </c>
      <c r="B3">
        <v>2</v>
      </c>
      <c r="C3">
        <v>1</v>
      </c>
      <c r="D3">
        <v>1</v>
      </c>
      <c r="E3">
        <v>1</v>
      </c>
      <c r="F3" s="3">
        <f>Ranks!M27/60/PRODUCT(B3:E3)</f>
        <v>2.8371977956857006</v>
      </c>
    </row>
    <row r="4" spans="1:6">
      <c r="A4" t="s">
        <v>90</v>
      </c>
      <c r="B4">
        <v>2</v>
      </c>
      <c r="C4">
        <v>2</v>
      </c>
      <c r="D4">
        <v>1</v>
      </c>
      <c r="E4">
        <v>1</v>
      </c>
      <c r="F4" s="3">
        <f>Ranks!M27/60/PRODUCT(B4:E4)</f>
        <v>1.4185988978428503</v>
      </c>
    </row>
    <row r="5" spans="1:6">
      <c r="A5" t="s">
        <v>91</v>
      </c>
      <c r="B5">
        <v>2</v>
      </c>
      <c r="C5">
        <v>2</v>
      </c>
      <c r="D5">
        <v>2.15</v>
      </c>
      <c r="E5">
        <v>5</v>
      </c>
      <c r="F5" s="3">
        <f>Ranks!M27/60/PRODUCT(B5:E5)</f>
        <v>0.13196268817142795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9.7109375" customWidth="1"/>
  </cols>
  <sheetData>
    <row r="1" spans="1:6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>
      <c r="A2">
        <v>1</v>
      </c>
      <c r="B2">
        <v>0</v>
      </c>
      <c r="C2" s="3">
        <f>MIN(Assumptions!$B$10,1+B2*Assumptions!$B$9)</f>
        <v>1.0</v>
      </c>
      <c r="D2" s="3">
        <f>INT(Assumptions!$B$11*(1+B2*Assumptions!$B$12))</f>
        <v>120000</v>
      </c>
      <c r="E2" s="3">
        <f>(Ranks!M26+D2/Ranks!I27)/C2/60</f>
        <v>5.674395591371401</v>
      </c>
      <c r="F2" s="3">
        <f>Assumptions!$B$13</f>
        <v>10</v>
      </c>
    </row>
    <row r="3" spans="1:6">
      <c r="A3">
        <v>2</v>
      </c>
      <c r="B3">
        <v>1</v>
      </c>
      <c r="C3" s="3">
        <f>MIN(Assumptions!$B$10,1+B3*Assumptions!$B$9)</f>
        <v>1.2</v>
      </c>
      <c r="D3" s="3">
        <f>INT(Assumptions!$B$11*(1+B3*Assumptions!$B$12))</f>
        <v>150000</v>
      </c>
      <c r="E3" s="3">
        <f>(Ranks!M26+D3/Ranks!I27)/C3/60</f>
        <v>4.733936303267786</v>
      </c>
      <c r="F3" s="3">
        <f>Assumptions!$B$13</f>
        <v>10</v>
      </c>
    </row>
    <row r="4" spans="1:6">
      <c r="A4">
        <v>3</v>
      </c>
      <c r="B4">
        <v>2</v>
      </c>
      <c r="C4" s="3">
        <f>MIN(Assumptions!$B$10,1+B4*Assumptions!$B$9)</f>
        <v>1.4</v>
      </c>
      <c r="D4" s="3">
        <f>INT(Assumptions!$B$11*(1+B4*Assumptions!$B$12))</f>
        <v>180000</v>
      </c>
      <c r="E4" s="3">
        <f>(Ranks!M26+D4/Ranks!I27)/C4/60</f>
        <v>4.062179668908061</v>
      </c>
      <c r="F4" s="3">
        <f>Assumptions!$B$13</f>
        <v>10</v>
      </c>
    </row>
    <row r="5" spans="1:6">
      <c r="A5">
        <v>4</v>
      </c>
      <c r="B5">
        <v>3</v>
      </c>
      <c r="C5" s="3">
        <f>MIN(Assumptions!$B$10,1+B5*Assumptions!$B$9)</f>
        <v>1.6</v>
      </c>
      <c r="D5" s="3">
        <f>INT(Assumptions!$B$11*(1+B5*Assumptions!$B$12))</f>
        <v>210000</v>
      </c>
      <c r="E5" s="3">
        <f>(Ranks!M26+D5/Ranks!I27)/C5/60</f>
        <v>3.5583621931382674</v>
      </c>
      <c r="F5" s="3">
        <f>Assumptions!$B$13</f>
        <v>10</v>
      </c>
    </row>
    <row r="6" spans="1:6">
      <c r="A6">
        <v>5</v>
      </c>
      <c r="B6">
        <v>4</v>
      </c>
      <c r="C6" s="3">
        <f>MIN(Assumptions!$B$10,1+B6*Assumptions!$B$9)</f>
        <v>1.8</v>
      </c>
      <c r="D6" s="3">
        <f>INT(Assumptions!$B$11*(1+B6*Assumptions!$B$12))</f>
        <v>240000</v>
      </c>
      <c r="E6" s="3">
        <f>(Ranks!M26+D6/Ranks!I27)/C6/60</f>
        <v>3.166504156428428</v>
      </c>
      <c r="F6" s="3">
        <f>Assumptions!$B$13</f>
        <v>10</v>
      </c>
    </row>
    <row r="7" spans="1:6">
      <c r="A7">
        <v>6</v>
      </c>
      <c r="B7">
        <v>5</v>
      </c>
      <c r="C7" s="3">
        <f>MIN(Assumptions!$B$10,1+B7*Assumptions!$B$9)</f>
        <v>2.0</v>
      </c>
      <c r="D7" s="3">
        <f>INT(Assumptions!$B$11*(1+B7*Assumptions!$B$12))</f>
        <v>270000</v>
      </c>
      <c r="E7" s="3">
        <f>(Ranks!M26+D7/Ranks!I27)/C7/60</f>
        <v>2.853017727060556</v>
      </c>
      <c r="F7" s="3">
        <f>Assumptions!$B$13</f>
        <v>10</v>
      </c>
    </row>
    <row r="8" spans="1:6">
      <c r="A8">
        <v>7</v>
      </c>
      <c r="B8">
        <v>6</v>
      </c>
      <c r="C8" s="3">
        <f>MIN(Assumptions!$B$10,1+B8*Assumptions!$B$9)</f>
        <v>2.2</v>
      </c>
      <c r="D8" s="3">
        <f>INT(Assumptions!$B$11*(1+B8*Assumptions!$B$12))</f>
        <v>300000</v>
      </c>
      <c r="E8" s="3">
        <f>(Ranks!M26+D8/Ranks!I27)/C8/60</f>
        <v>2.596528830305025</v>
      </c>
      <c r="F8" s="3">
        <f>Assumptions!$B$13</f>
        <v>10</v>
      </c>
    </row>
    <row r="9" spans="1:6">
      <c r="A9">
        <v>8</v>
      </c>
      <c r="B9">
        <v>7</v>
      </c>
      <c r="C9" s="3">
        <f>MIN(Assumptions!$B$10,1+B9*Assumptions!$B$9)</f>
        <v>2.4000000000000004</v>
      </c>
      <c r="D9" s="3">
        <f>INT(Assumptions!$B$11*(1+B9*Assumptions!$B$12))</f>
        <v>330000</v>
      </c>
      <c r="E9" s="3">
        <f>(Ranks!M26+D9/Ranks!I27)/C9/60</f>
        <v>2.382788083008749</v>
      </c>
      <c r="F9" s="3">
        <f>Assumptions!$B$13</f>
        <v>10</v>
      </c>
    </row>
    <row r="10" spans="1:6">
      <c r="A10">
        <v>9</v>
      </c>
      <c r="B10">
        <v>8</v>
      </c>
      <c r="C10" s="3">
        <f>MIN(Assumptions!$B$10,1+B10*Assumptions!$B$9)</f>
        <v>2.6</v>
      </c>
      <c r="D10" s="3">
        <f>INT(Assumptions!$B$11*(1+B10*Assumptions!$B$12))</f>
        <v>360000</v>
      </c>
      <c r="E10" s="3">
        <f>(Ranks!M26+D10/Ranks!I27)/C10/60</f>
        <v>2.201930527604208</v>
      </c>
      <c r="F10" s="3">
        <f>Assumptions!$B$13</f>
        <v>10</v>
      </c>
    </row>
    <row r="11" spans="1:6">
      <c r="A11">
        <v>10</v>
      </c>
      <c r="B11">
        <v>9</v>
      </c>
      <c r="C11" s="3">
        <f>MIN(Assumptions!$B$10,1+B11*Assumptions!$B$9)</f>
        <v>2.8</v>
      </c>
      <c r="D11" s="3">
        <f>INT(Assumptions!$B$11*(1+B11*Assumptions!$B$12))</f>
        <v>390000</v>
      </c>
      <c r="E11" s="3">
        <f>(Ranks!M26+D11/Ranks!I27)/C11/60</f>
        <v>2.046909765828887</v>
      </c>
      <c r="F11" s="3">
        <f>Assumptions!$B$13</f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19.7109375" customWidth="1"/>
  </cols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5</v>
      </c>
      <c r="C2">
        <v>5</v>
      </c>
      <c r="D2" t="s">
        <v>104</v>
      </c>
      <c r="E2" t="s">
        <v>105</v>
      </c>
    </row>
    <row r="3" spans="1:5">
      <c r="A3" t="s">
        <v>106</v>
      </c>
      <c r="B3">
        <v>8</v>
      </c>
      <c r="C3">
        <v>5</v>
      </c>
      <c r="D3" t="s">
        <v>104</v>
      </c>
      <c r="E3" t="s">
        <v>107</v>
      </c>
    </row>
    <row r="4" spans="1:5">
      <c r="A4" t="s">
        <v>108</v>
      </c>
      <c r="B4">
        <v>12</v>
      </c>
      <c r="C4">
        <v>5</v>
      </c>
      <c r="D4" t="s">
        <v>104</v>
      </c>
      <c r="E4" t="s">
        <v>109</v>
      </c>
    </row>
    <row r="5" spans="1:5">
      <c r="A5" t="s">
        <v>110</v>
      </c>
      <c r="B5">
        <v>5</v>
      </c>
      <c r="C5">
        <v>5</v>
      </c>
      <c r="D5" t="s">
        <v>104</v>
      </c>
      <c r="E5" t="s">
        <v>111</v>
      </c>
    </row>
    <row r="6" spans="1:5">
      <c r="A6" t="s">
        <v>112</v>
      </c>
      <c r="B6">
        <v>10</v>
      </c>
      <c r="C6">
        <v>1</v>
      </c>
      <c r="D6" t="s">
        <v>113</v>
      </c>
      <c r="E6" t="s">
        <v>114</v>
      </c>
    </row>
    <row r="7" spans="1:5">
      <c r="A7" t="s">
        <v>115</v>
      </c>
      <c r="B7">
        <v>15</v>
      </c>
      <c r="C7">
        <v>1</v>
      </c>
      <c r="D7" t="s">
        <v>113</v>
      </c>
      <c r="E7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5.7109375" customWidth="1"/>
  </cols>
  <sheetData>
    <row r="1" spans="1:1">
      <c r="A1" s="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1" spans="1:1">
      <c r="A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Blocks</vt:lpstr>
      <vt:lpstr>Equipment</vt:lpstr>
      <vt:lpstr>Ranks</vt:lpstr>
      <vt:lpstr>Scenarios</vt:lpstr>
      <vt:lpstr>Prestige</vt:lpstr>
      <vt:lpstr>Token shop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2026-10-27T07:52:57Z</dcterms:created>
  <dcterms:modified xsi:type="dcterms:W3CDTF">2026-10-27T07:52:57Z</dcterms:modified>
</cp:coreProperties>
</file>